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asugai/Library/CloudStorage/Box-Box/CrowdStrike_Workfolder/Partner/OTS関連/2024実践ソリューションフェアデモ関連/"/>
    </mc:Choice>
  </mc:AlternateContent>
  <xr:revisionPtr revIDLastSave="0" documentId="13_ncr:1_{825869CD-99F9-C049-8118-5F9BE017B21A}" xr6:coauthVersionLast="47" xr6:coauthVersionMax="47" xr10:uidLastSave="{00000000-0000-0000-0000-000000000000}"/>
  <bookViews>
    <workbookView xWindow="27320" yWindow="3000" windowWidth="29940" windowHeight="3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6" i="1" l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47" i="1" s="1"/>
  <c r="F48" i="1" l="1"/>
  <c r="F49" i="1" s="1"/>
  <c r="C18" i="1" s="1"/>
</calcChain>
</file>

<file path=xl/sharedStrings.xml><?xml version="1.0" encoding="utf-8"?>
<sst xmlns="http://schemas.openxmlformats.org/spreadsheetml/2006/main" count="27" uniqueCount="25">
  <si>
    <t>No　 123456789</t>
    <phoneticPr fontId="4"/>
  </si>
  <si>
    <t>請求書</t>
    <rPh sb="0" eb="2">
      <t>セイキュウ</t>
    </rPh>
    <rPh sb="2" eb="3">
      <t>ショ</t>
    </rPh>
    <phoneticPr fontId="4"/>
  </si>
  <si>
    <t>大塚商会</t>
    <rPh sb="0" eb="4">
      <t>オオツ</t>
    </rPh>
    <phoneticPr fontId="4"/>
  </si>
  <si>
    <t>御中</t>
    <rPh sb="0" eb="2">
      <t>オンチュウ</t>
    </rPh>
    <phoneticPr fontId="4"/>
  </si>
  <si>
    <t>クラウドストライク　合同会社</t>
    <rPh sb="10" eb="14">
      <t xml:space="preserve">ゴウドウガイシャ </t>
    </rPh>
    <phoneticPr fontId="4"/>
  </si>
  <si>
    <t>住所：〒107-6329</t>
    <rPh sb="0" eb="2">
      <t>ジュウショ</t>
    </rPh>
    <phoneticPr fontId="4"/>
  </si>
  <si>
    <t>件　　 名：</t>
    <phoneticPr fontId="4"/>
  </si>
  <si>
    <t>Falcon Enterprise</t>
    <phoneticPr fontId="4"/>
  </si>
  <si>
    <t>東京都港区赤坂5-3-1</t>
    <rPh sb="0" eb="3">
      <t xml:space="preserve">トウキョウト </t>
    </rPh>
    <rPh sb="3" eb="5">
      <t xml:space="preserve">ミナトク </t>
    </rPh>
    <rPh sb="5" eb="7">
      <t xml:space="preserve">アカサカ </t>
    </rPh>
    <phoneticPr fontId="4"/>
  </si>
  <si>
    <t>納 品 日：</t>
    <rPh sb="0" eb="1">
      <t>オサム</t>
    </rPh>
    <rPh sb="2" eb="3">
      <t>シナ</t>
    </rPh>
    <rPh sb="4" eb="5">
      <t>ヒ</t>
    </rPh>
    <phoneticPr fontId="4"/>
  </si>
  <si>
    <t>TEL：03-1234-5678</t>
    <phoneticPr fontId="4"/>
  </si>
  <si>
    <t>担当：サコ ランシネ</t>
    <rPh sb="0" eb="2">
      <t>タントウ</t>
    </rPh>
    <phoneticPr fontId="4"/>
  </si>
  <si>
    <t>下記の通り、ご請求申し上げます。</t>
    <rPh sb="0" eb="2">
      <t>カキ</t>
    </rPh>
    <rPh sb="3" eb="4">
      <t>トオ</t>
    </rPh>
    <rPh sb="7" eb="9">
      <t>セイキュウ</t>
    </rPh>
    <rPh sb="9" eb="10">
      <t>モウ</t>
    </rPh>
    <rPh sb="11" eb="12">
      <t>ア</t>
    </rPh>
    <phoneticPr fontId="4"/>
  </si>
  <si>
    <t>金額</t>
    <rPh sb="0" eb="2">
      <t>キンガク</t>
    </rPh>
    <phoneticPr fontId="4"/>
  </si>
  <si>
    <t>（税込）</t>
    <rPh sb="1" eb="3">
      <t>ゼイコミ</t>
    </rPh>
    <phoneticPr fontId="4"/>
  </si>
  <si>
    <t>No.</t>
    <phoneticPr fontId="4"/>
  </si>
  <si>
    <t>項目</t>
    <rPh sb="0" eb="2">
      <t>コウモク</t>
    </rPh>
    <phoneticPr fontId="4"/>
  </si>
  <si>
    <t>数量</t>
    <rPh sb="0" eb="2">
      <t>スウリョウ</t>
    </rPh>
    <phoneticPr fontId="4"/>
  </si>
  <si>
    <t>単価</t>
    <rPh sb="0" eb="2">
      <t>タンカ</t>
    </rPh>
    <phoneticPr fontId="4"/>
  </si>
  <si>
    <t>小計</t>
    <rPh sb="0" eb="2">
      <t>ショウケイ</t>
    </rPh>
    <phoneticPr fontId="4"/>
  </si>
  <si>
    <t>消費税</t>
    <rPh sb="0" eb="3">
      <t>ショウヒゼイ</t>
    </rPh>
    <phoneticPr fontId="4"/>
  </si>
  <si>
    <t>税込合計</t>
    <rPh sb="0" eb="2">
      <t>ゼイコミ</t>
    </rPh>
    <rPh sb="2" eb="4">
      <t>ゴウケイ</t>
    </rPh>
    <phoneticPr fontId="4"/>
  </si>
  <si>
    <t>お振込先</t>
    <rPh sb="1" eb="3">
      <t>フリコミ</t>
    </rPh>
    <rPh sb="3" eb="4">
      <t>サキ</t>
    </rPh>
    <phoneticPr fontId="4"/>
  </si>
  <si>
    <t>コードジボアール銀行　アビジャン支店　普通　35354649 (ｻｺｻｺﾖﾛｼｸ)</t>
    <rPh sb="8" eb="10">
      <t xml:space="preserve">ギンコウ </t>
    </rPh>
    <rPh sb="16" eb="18">
      <t xml:space="preserve">シテン </t>
    </rPh>
    <rPh sb="19" eb="21">
      <t xml:space="preserve">フツウ </t>
    </rPh>
    <phoneticPr fontId="4"/>
  </si>
  <si>
    <t>発行日  2024年2月16日</t>
    <rPh sb="0" eb="2">
      <t>ハッコウ</t>
    </rPh>
    <rPh sb="2" eb="3">
      <t>ビ</t>
    </rPh>
    <rPh sb="9" eb="10">
      <t xml:space="preserve">ネン </t>
    </rPh>
    <rPh sb="11" eb="12">
      <t xml:space="preserve">ガツ 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</si>
</sst>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#,##0_ "/>
  </numFmts>
  <fonts count="1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Meiryo UI"/>
      <family val="2"/>
      <charset val="128"/>
    </font>
    <font>
      <sz val="20"/>
      <color theme="1"/>
      <name val="ＭＳ Ｐゴシック"/>
      <family val="3"/>
      <charset val="128"/>
    </font>
    <font>
      <sz val="20"/>
      <color theme="1"/>
      <name val="HGP明朝E"/>
      <family val="1"/>
      <charset val="128"/>
    </font>
    <font>
      <b/>
      <sz val="16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0"/>
      <color theme="1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8E8E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58" fontId="3" fillId="0" borderId="1" xfId="0" applyNumberFormat="1" applyFont="1" applyBorder="1" applyAlignment="1"/>
    <xf numFmtId="58" fontId="3" fillId="0" borderId="2" xfId="0" applyNumberFormat="1" applyFont="1" applyBorder="1" applyAlignment="1"/>
    <xf numFmtId="0" fontId="5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8" fillId="0" borderId="0" xfId="0" applyFont="1" applyAlignment="1">
      <alignment shrinkToFit="1"/>
    </xf>
    <xf numFmtId="0" fontId="8" fillId="0" borderId="0" xfId="0" applyFont="1" applyAlignment="1"/>
    <xf numFmtId="56" fontId="2" fillId="0" borderId="2" xfId="0" applyNumberFormat="1" applyFont="1" applyBorder="1">
      <alignment vertical="center"/>
    </xf>
    <xf numFmtId="0" fontId="2" fillId="0" borderId="2" xfId="0" applyFont="1" applyBorder="1">
      <alignment vertical="center"/>
    </xf>
    <xf numFmtId="5" fontId="9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>
      <alignment vertical="center"/>
    </xf>
    <xf numFmtId="5" fontId="9" fillId="0" borderId="3" xfId="0" applyNumberFormat="1" applyFont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10" fillId="3" borderId="4" xfId="0" applyFont="1" applyFill="1" applyBorder="1">
      <alignment vertical="center"/>
    </xf>
    <xf numFmtId="0" fontId="10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5" xfId="0" applyFont="1" applyBorder="1">
      <alignment vertical="center"/>
    </xf>
    <xf numFmtId="176" fontId="3" fillId="0" borderId="5" xfId="0" applyNumberFormat="1" applyFont="1" applyBorder="1">
      <alignment vertical="center"/>
    </xf>
    <xf numFmtId="176" fontId="3" fillId="0" borderId="0" xfId="0" applyNumberFormat="1" applyFont="1">
      <alignment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>
      <alignment vertical="center"/>
    </xf>
    <xf numFmtId="176" fontId="3" fillId="0" borderId="7" xfId="0" applyNumberFormat="1" applyFont="1" applyBorder="1">
      <alignment vertical="center"/>
    </xf>
    <xf numFmtId="176" fontId="3" fillId="0" borderId="6" xfId="0" applyNumberFormat="1" applyFont="1" applyBorder="1">
      <alignment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>
      <alignment vertical="center"/>
    </xf>
    <xf numFmtId="176" fontId="2" fillId="4" borderId="0" xfId="0" applyNumberFormat="1" applyFont="1" applyFill="1">
      <alignment vertical="center"/>
    </xf>
    <xf numFmtId="0" fontId="2" fillId="5" borderId="0" xfId="0" applyFont="1" applyFill="1">
      <alignment vertical="center"/>
    </xf>
    <xf numFmtId="176" fontId="2" fillId="5" borderId="0" xfId="0" applyNumberFormat="1" applyFont="1" applyFill="1">
      <alignment vertical="center"/>
    </xf>
    <xf numFmtId="5" fontId="2" fillId="4" borderId="0" xfId="0" applyNumberFormat="1" applyFont="1" applyFill="1">
      <alignment vertical="center"/>
    </xf>
    <xf numFmtId="0" fontId="11" fillId="0" borderId="0" xfId="0" applyFont="1">
      <alignment vertical="center"/>
    </xf>
    <xf numFmtId="0" fontId="2" fillId="0" borderId="0" xfId="0" applyFont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2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0" fontId="15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  <numFmt numFmtId="176" formatCode="#,##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  <numFmt numFmtId="176" formatCode="#,##0_ 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Ｐゴシック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151341</xdr:colOff>
      <xdr:row>2</xdr:row>
      <xdr:rowOff>76200</xdr:rowOff>
    </xdr:from>
    <xdr:to>
      <xdr:col>3</xdr:col>
      <xdr:colOff>482600</xdr:colOff>
      <xdr:row>7</xdr:row>
      <xdr:rowOff>8467</xdr:rowOff>
    </xdr:to>
    <xdr:sp macro="[0]!Sheet1.Workbook_Op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341" y="203200"/>
          <a:ext cx="2854326" cy="9990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 anchorCtr="0"/>
        <a:lstStyle/>
        <a:p>
          <a:pPr algn="l"/>
          <a:r>
            <a:rPr lang="en-US" sz="2400" b="1">
              <a:solidFill>
                <a:sysClr val="windowText" lastClr="000000"/>
              </a:solidFill>
              <a:latin typeface="MS Mincho" panose="02020609040205080304" pitchFamily="49" charset="-128"/>
              <a:ea typeface="MS Mincho" panose="02020609040205080304" pitchFamily="49" charset="-128"/>
            </a:rPr>
            <a:t>請求書</a:t>
          </a:r>
        </a:p>
      </xdr:txBody>
    </xdr:sp>
    <xdr:clientData/>
  </xdr:twoCellAnchor>
  <xdr:twoCellAnchor>
    <xdr:from>
      <xdr:col>5</xdr:col>
      <xdr:colOff>19398</xdr:colOff>
      <xdr:row>15</xdr:row>
      <xdr:rowOff>55144</xdr:rowOff>
    </xdr:from>
    <xdr:to>
      <xdr:col>6</xdr:col>
      <xdr:colOff>12699</xdr:colOff>
      <xdr:row>19</xdr:row>
      <xdr:rowOff>47625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DB4CF848-7D94-2D4D-9939-BFA6F2A1480F}"/>
            </a:ext>
          </a:extLst>
        </xdr:cNvPr>
        <xdr:cNvGrpSpPr/>
      </xdr:nvGrpSpPr>
      <xdr:grpSpPr>
        <a:xfrm>
          <a:off x="3727798" y="2603611"/>
          <a:ext cx="2321634" cy="669814"/>
          <a:chOff x="3962400" y="2381250"/>
          <a:chExt cx="1885950" cy="628650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1E8D1600-C728-3597-C204-FEB20BEC5A32}"/>
              </a:ext>
            </a:extLst>
          </xdr:cNvPr>
          <xdr:cNvSpPr/>
        </xdr:nvSpPr>
        <xdr:spPr>
          <a:xfrm>
            <a:off x="3962400" y="2381250"/>
            <a:ext cx="628650" cy="6286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7F8D952A-4A82-1669-A7FD-3B37CFCCE810}"/>
              </a:ext>
            </a:extLst>
          </xdr:cNvPr>
          <xdr:cNvSpPr/>
        </xdr:nvSpPr>
        <xdr:spPr>
          <a:xfrm>
            <a:off x="4591050" y="2381250"/>
            <a:ext cx="628650" cy="6286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597E62EC-62EB-7B11-5C00-2319C1C4EEB9}"/>
              </a:ext>
            </a:extLst>
          </xdr:cNvPr>
          <xdr:cNvSpPr/>
        </xdr:nvSpPr>
        <xdr:spPr>
          <a:xfrm>
            <a:off x="5219700" y="2381250"/>
            <a:ext cx="628650" cy="6286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1591734</xdr:colOff>
      <xdr:row>10</xdr:row>
      <xdr:rowOff>66675</xdr:rowOff>
    </xdr:from>
    <xdr:to>
      <xdr:col>6</xdr:col>
      <xdr:colOff>1393</xdr:colOff>
      <xdr:row>14</xdr:row>
      <xdr:rowOff>177075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F72ABB7A-DE03-7C4E-B8FB-EF2608D425C9}"/>
            </a:ext>
          </a:extLst>
        </xdr:cNvPr>
        <xdr:cNvSpPr/>
      </xdr:nvSpPr>
      <xdr:spPr>
        <a:xfrm>
          <a:off x="5300134" y="2572808"/>
          <a:ext cx="737992" cy="1126400"/>
        </a:xfrm>
        <a:prstGeom prst="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444502</xdr:colOff>
      <xdr:row>2</xdr:row>
      <xdr:rowOff>169332</xdr:rowOff>
    </xdr:from>
    <xdr:to>
      <xdr:col>6</xdr:col>
      <xdr:colOff>90626</xdr:colOff>
      <xdr:row>11</xdr:row>
      <xdr:rowOff>84666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4FBD8E9B-8959-2645-9867-824D03CB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7569" y="296332"/>
          <a:ext cx="3159790" cy="16594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930B34-425B-9F4A-B3D9-5409C8070362}" name="テーブル" displayName="テーブル" ref="B21:F46" totalsRowShown="0" headerRowDxfId="7" dataDxfId="6" headerRowBorderDxfId="5">
  <autoFilter ref="B21:F46" xr:uid="{A2930B34-425B-9F4A-B3D9-5409C8070362}"/>
  <tableColumns count="5">
    <tableColumn id="1" xr3:uid="{841F45CB-925B-CC48-B344-DB07B6C02367}" name="No." dataDxfId="4"/>
    <tableColumn id="2" xr3:uid="{F2154FFF-410B-8E46-A608-FBD5899267C6}" name="項目" dataDxfId="3"/>
    <tableColumn id="3" xr3:uid="{6D5CB359-3426-6145-991A-FFF9C875B857}" name="数量" dataDxfId="2"/>
    <tableColumn id="4" xr3:uid="{03D39AB2-4D6C-5241-AF69-F9645341A745}" name="単価" dataDxfId="1"/>
    <tableColumn id="5" xr3:uid="{D59853C9-1B9A-DD42-9871-3F404C716462}" name="金額" dataDxfId="0">
      <calculatedColumnFormula>D22*E22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58"/>
  <sheetViews>
    <sheetView showGridLines="0" tabSelected="1" zoomScale="150" zoomScaleNormal="150" zoomScaleSheetLayoutView="150" workbookViewId="0">
      <selection activeCell="J11" sqref="J11"/>
    </sheetView>
  </sheetViews>
  <sheetFormatPr baseColWidth="10" defaultColWidth="11" defaultRowHeight="20"/>
  <cols>
    <col min="1" max="1" width="2.5703125" customWidth="1"/>
    <col min="2" max="2" width="7" customWidth="1"/>
    <col min="3" max="3" width="18.7109375" customWidth="1"/>
    <col min="4" max="4" width="5.5703125" customWidth="1"/>
    <col min="5" max="5" width="7.7109375" customWidth="1"/>
    <col min="6" max="6" width="26.140625" customWidth="1"/>
  </cols>
  <sheetData>
    <row r="1" spans="1:6" ht="6" customHeight="1">
      <c r="A1" s="1"/>
      <c r="B1" s="2"/>
      <c r="C1" s="2"/>
      <c r="D1" s="2"/>
      <c r="E1" s="2"/>
      <c r="F1" s="2"/>
    </row>
    <row r="2" spans="1:6" ht="4" customHeight="1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3" t="s">
        <v>24</v>
      </c>
    </row>
    <row r="4" spans="1:6" ht="16" customHeight="1">
      <c r="A4" s="1"/>
      <c r="B4" s="1"/>
      <c r="C4" s="1"/>
      <c r="D4" s="1"/>
      <c r="E4" s="1"/>
      <c r="F4" s="4" t="s">
        <v>0</v>
      </c>
    </row>
    <row r="5" spans="1:6" ht="7" customHeight="1">
      <c r="A5" s="1"/>
      <c r="B5" s="5"/>
      <c r="C5" s="5"/>
      <c r="D5" s="5"/>
      <c r="E5" s="1"/>
      <c r="F5" s="1"/>
    </row>
    <row r="6" spans="1:6" ht="27" customHeight="1">
      <c r="A6" s="1"/>
      <c r="B6" s="6" t="s">
        <v>1</v>
      </c>
      <c r="C6" s="6"/>
      <c r="D6" s="5"/>
      <c r="E6" s="7"/>
      <c r="F6" s="1"/>
    </row>
    <row r="7" spans="1:6" ht="13" customHeight="1">
      <c r="A7" s="1"/>
      <c r="B7" s="1"/>
      <c r="C7" s="1"/>
      <c r="D7" s="8"/>
      <c r="E7" s="8"/>
      <c r="F7" s="1"/>
    </row>
    <row r="8" spans="1:6" ht="13" customHeight="1">
      <c r="A8" s="1"/>
      <c r="B8" s="45" t="s">
        <v>2</v>
      </c>
      <c r="C8" s="46"/>
      <c r="D8" s="1"/>
      <c r="E8" s="1"/>
      <c r="F8" s="1"/>
    </row>
    <row r="9" spans="1:6" ht="13" customHeight="1">
      <c r="A9" s="1"/>
      <c r="B9" s="47"/>
      <c r="C9" s="47"/>
      <c r="D9" s="10" t="s">
        <v>3</v>
      </c>
      <c r="E9" s="1"/>
      <c r="F9" s="11"/>
    </row>
    <row r="10" spans="1:6" ht="13" customHeight="1">
      <c r="A10" s="1"/>
      <c r="B10" s="1"/>
      <c r="C10" s="1"/>
      <c r="D10" s="1"/>
      <c r="E10" s="1"/>
      <c r="F10" s="11" t="s">
        <v>4</v>
      </c>
    </row>
    <row r="11" spans="1:6" ht="13" customHeight="1">
      <c r="A11" s="1"/>
      <c r="B11" s="1"/>
      <c r="C11" s="9"/>
      <c r="D11" s="9"/>
      <c r="E11" s="1"/>
      <c r="F11" s="12" t="s">
        <v>5</v>
      </c>
    </row>
    <row r="12" spans="1:6" ht="13" customHeight="1">
      <c r="A12" s="1"/>
      <c r="B12" s="1" t="s">
        <v>6</v>
      </c>
      <c r="C12" s="43" t="s">
        <v>7</v>
      </c>
      <c r="D12" s="44"/>
      <c r="E12" s="1"/>
      <c r="F12" s="12" t="s">
        <v>8</v>
      </c>
    </row>
    <row r="13" spans="1:6" ht="13" customHeight="1">
      <c r="A13" s="1"/>
      <c r="B13" s="1" t="s">
        <v>9</v>
      </c>
      <c r="C13" s="13">
        <v>45322</v>
      </c>
      <c r="D13" s="14"/>
      <c r="E13" s="1"/>
      <c r="F13" s="1" t="s">
        <v>10</v>
      </c>
    </row>
    <row r="14" spans="1:6" ht="13" customHeight="1">
      <c r="A14" s="1"/>
      <c r="B14" s="1"/>
      <c r="C14" s="9"/>
      <c r="D14" s="9"/>
      <c r="E14" s="1"/>
      <c r="F14" s="1"/>
    </row>
    <row r="15" spans="1:6" ht="13" customHeight="1">
      <c r="A15" s="1"/>
      <c r="B15" s="1"/>
      <c r="C15" s="9"/>
      <c r="D15" s="9"/>
      <c r="E15" s="1"/>
      <c r="F15" s="1" t="s">
        <v>11</v>
      </c>
    </row>
    <row r="16" spans="1:6" ht="13" customHeight="1">
      <c r="A16" s="1"/>
      <c r="B16" s="9" t="s">
        <v>12</v>
      </c>
      <c r="C16" s="9"/>
      <c r="D16" s="9"/>
      <c r="E16" s="1"/>
      <c r="F16" s="1"/>
    </row>
    <row r="17" spans="1:6" ht="13" customHeight="1">
      <c r="A17" s="1"/>
      <c r="B17" s="1"/>
      <c r="C17" s="1"/>
      <c r="D17" s="1"/>
      <c r="E17" s="1"/>
      <c r="F17" s="1"/>
    </row>
    <row r="18" spans="1:6" ht="13" customHeight="1">
      <c r="A18" s="1"/>
      <c r="B18" s="9" t="s">
        <v>13</v>
      </c>
      <c r="C18" s="15">
        <f>F49</f>
        <v>540000</v>
      </c>
      <c r="D18" s="16" t="s">
        <v>14</v>
      </c>
      <c r="E18" s="1"/>
      <c r="F18" s="1"/>
    </row>
    <row r="19" spans="1:6" ht="13" customHeight="1" thickBot="1">
      <c r="A19" s="1"/>
      <c r="B19" s="17"/>
      <c r="C19" s="18"/>
      <c r="D19" s="19"/>
      <c r="E19" s="1"/>
      <c r="F19" s="1"/>
    </row>
    <row r="20" spans="1:6" ht="13" customHeight="1" thickTop="1" thickBot="1">
      <c r="A20" s="1"/>
      <c r="B20" s="1"/>
      <c r="C20" s="1"/>
      <c r="D20" s="1"/>
      <c r="E20" s="1"/>
      <c r="F20" s="1"/>
    </row>
    <row r="21" spans="1:6" ht="16" customHeight="1" thickBot="1">
      <c r="A21" s="1"/>
      <c r="B21" s="20" t="s">
        <v>15</v>
      </c>
      <c r="C21" s="21" t="s">
        <v>16</v>
      </c>
      <c r="D21" s="21" t="s">
        <v>17</v>
      </c>
      <c r="E21" s="21" t="s">
        <v>18</v>
      </c>
      <c r="F21" s="21" t="s">
        <v>13</v>
      </c>
    </row>
    <row r="22" spans="1:6" ht="14" customHeight="1">
      <c r="A22" s="1"/>
      <c r="B22" s="22">
        <v>1</v>
      </c>
      <c r="C22" s="23" t="s">
        <v>7</v>
      </c>
      <c r="D22" s="23">
        <v>100</v>
      </c>
      <c r="E22" s="24">
        <v>5000</v>
      </c>
      <c r="F22" s="25">
        <f t="shared" ref="F22:F46" si="0">D22*E22</f>
        <v>500000</v>
      </c>
    </row>
    <row r="23" spans="1:6" ht="14" customHeight="1">
      <c r="A23" s="1"/>
      <c r="B23" s="22"/>
      <c r="C23" s="23"/>
      <c r="D23" s="23"/>
      <c r="E23" s="24"/>
      <c r="F23" s="25">
        <f t="shared" si="0"/>
        <v>0</v>
      </c>
    </row>
    <row r="24" spans="1:6" ht="14" customHeight="1">
      <c r="A24" s="1"/>
      <c r="B24" s="22"/>
      <c r="C24" s="23"/>
      <c r="D24" s="23"/>
      <c r="E24" s="24"/>
      <c r="F24" s="25">
        <f t="shared" si="0"/>
        <v>0</v>
      </c>
    </row>
    <row r="25" spans="1:6" ht="14" customHeight="1">
      <c r="A25" s="1"/>
      <c r="B25" s="22"/>
      <c r="C25" s="23"/>
      <c r="D25" s="23"/>
      <c r="E25" s="24"/>
      <c r="F25" s="25">
        <f t="shared" si="0"/>
        <v>0</v>
      </c>
    </row>
    <row r="26" spans="1:6" ht="14" customHeight="1">
      <c r="A26" s="1"/>
      <c r="B26" s="22"/>
      <c r="C26" s="23"/>
      <c r="D26" s="23"/>
      <c r="E26" s="24"/>
      <c r="F26" s="25">
        <f t="shared" si="0"/>
        <v>0</v>
      </c>
    </row>
    <row r="27" spans="1:6" ht="14" customHeight="1">
      <c r="A27" s="1"/>
      <c r="B27" s="22"/>
      <c r="C27" s="23"/>
      <c r="D27" s="23"/>
      <c r="E27" s="24"/>
      <c r="F27" s="25">
        <f t="shared" si="0"/>
        <v>0</v>
      </c>
    </row>
    <row r="28" spans="1:6" ht="14" customHeight="1">
      <c r="A28" s="1"/>
      <c r="B28" s="22"/>
      <c r="C28" s="23"/>
      <c r="D28" s="23"/>
      <c r="E28" s="24"/>
      <c r="F28" s="25">
        <f t="shared" si="0"/>
        <v>0</v>
      </c>
    </row>
    <row r="29" spans="1:6" ht="14" customHeight="1">
      <c r="A29" s="1"/>
      <c r="B29" s="22"/>
      <c r="C29" s="23"/>
      <c r="D29" s="23"/>
      <c r="E29" s="24"/>
      <c r="F29" s="25">
        <f t="shared" si="0"/>
        <v>0</v>
      </c>
    </row>
    <row r="30" spans="1:6" ht="14" customHeight="1">
      <c r="A30" s="1"/>
      <c r="B30" s="22"/>
      <c r="C30" s="23"/>
      <c r="D30" s="23"/>
      <c r="E30" s="24"/>
      <c r="F30" s="25">
        <f t="shared" si="0"/>
        <v>0</v>
      </c>
    </row>
    <row r="31" spans="1:6" ht="14" customHeight="1">
      <c r="A31" s="1"/>
      <c r="B31" s="22"/>
      <c r="C31" s="23"/>
      <c r="D31" s="23"/>
      <c r="E31" s="24"/>
      <c r="F31" s="25">
        <f t="shared" si="0"/>
        <v>0</v>
      </c>
    </row>
    <row r="32" spans="1:6" ht="14" customHeight="1">
      <c r="A32" s="1"/>
      <c r="B32" s="22"/>
      <c r="C32" s="23"/>
      <c r="D32" s="23"/>
      <c r="E32" s="24"/>
      <c r="F32" s="25">
        <f t="shared" si="0"/>
        <v>0</v>
      </c>
    </row>
    <row r="33" spans="1:6" ht="14" customHeight="1">
      <c r="A33" s="1"/>
      <c r="B33" s="22"/>
      <c r="C33" s="23"/>
      <c r="D33" s="23"/>
      <c r="E33" s="24"/>
      <c r="F33" s="25">
        <f t="shared" si="0"/>
        <v>0</v>
      </c>
    </row>
    <row r="34" spans="1:6" ht="14" customHeight="1">
      <c r="A34" s="1"/>
      <c r="B34" s="22"/>
      <c r="C34" s="23"/>
      <c r="D34" s="23"/>
      <c r="E34" s="24"/>
      <c r="F34" s="25">
        <f t="shared" si="0"/>
        <v>0</v>
      </c>
    </row>
    <row r="35" spans="1:6" ht="14" customHeight="1">
      <c r="A35" s="1"/>
      <c r="B35" s="22"/>
      <c r="C35" s="23"/>
      <c r="D35" s="23"/>
      <c r="E35" s="24"/>
      <c r="F35" s="25">
        <f t="shared" si="0"/>
        <v>0</v>
      </c>
    </row>
    <row r="36" spans="1:6" ht="14" customHeight="1">
      <c r="A36" s="1"/>
      <c r="B36" s="22"/>
      <c r="C36" s="23"/>
      <c r="D36" s="23"/>
      <c r="E36" s="24"/>
      <c r="F36" s="25">
        <f t="shared" si="0"/>
        <v>0</v>
      </c>
    </row>
    <row r="37" spans="1:6" ht="14" customHeight="1">
      <c r="A37" s="1"/>
      <c r="B37" s="22"/>
      <c r="C37" s="23"/>
      <c r="D37" s="23"/>
      <c r="E37" s="24"/>
      <c r="F37" s="25">
        <f t="shared" si="0"/>
        <v>0</v>
      </c>
    </row>
    <row r="38" spans="1:6" ht="14" customHeight="1">
      <c r="A38" s="1"/>
      <c r="B38" s="22"/>
      <c r="C38" s="23"/>
      <c r="D38" s="23"/>
      <c r="E38" s="24"/>
      <c r="F38" s="25">
        <f t="shared" si="0"/>
        <v>0</v>
      </c>
    </row>
    <row r="39" spans="1:6" ht="14" customHeight="1">
      <c r="A39" s="1"/>
      <c r="B39" s="22"/>
      <c r="C39" s="23"/>
      <c r="D39" s="23"/>
      <c r="E39" s="24"/>
      <c r="F39" s="25">
        <f t="shared" si="0"/>
        <v>0</v>
      </c>
    </row>
    <row r="40" spans="1:6" ht="14" customHeight="1">
      <c r="A40" s="1"/>
      <c r="B40" s="22"/>
      <c r="C40" s="23"/>
      <c r="D40" s="23"/>
      <c r="E40" s="24"/>
      <c r="F40" s="25">
        <f t="shared" si="0"/>
        <v>0</v>
      </c>
    </row>
    <row r="41" spans="1:6" ht="14" customHeight="1">
      <c r="A41" s="1"/>
      <c r="B41" s="22"/>
      <c r="C41" s="23"/>
      <c r="D41" s="23"/>
      <c r="E41" s="24"/>
      <c r="F41" s="25">
        <f t="shared" si="0"/>
        <v>0</v>
      </c>
    </row>
    <row r="42" spans="1:6" ht="14" customHeight="1">
      <c r="A42" s="1"/>
      <c r="B42" s="22"/>
      <c r="C42" s="23"/>
      <c r="D42" s="23"/>
      <c r="E42" s="24"/>
      <c r="F42" s="25">
        <f t="shared" si="0"/>
        <v>0</v>
      </c>
    </row>
    <row r="43" spans="1:6" ht="14" customHeight="1">
      <c r="A43" s="1"/>
      <c r="B43" s="22"/>
      <c r="C43" s="23"/>
      <c r="D43" s="23"/>
      <c r="E43" s="24"/>
      <c r="F43" s="25">
        <f t="shared" si="0"/>
        <v>0</v>
      </c>
    </row>
    <row r="44" spans="1:6" ht="14" customHeight="1">
      <c r="A44" s="1"/>
      <c r="B44" s="22"/>
      <c r="C44" s="23"/>
      <c r="D44" s="23"/>
      <c r="E44" s="24"/>
      <c r="F44" s="25">
        <f t="shared" si="0"/>
        <v>0</v>
      </c>
    </row>
    <row r="45" spans="1:6" ht="14" customHeight="1">
      <c r="A45" s="1"/>
      <c r="B45" s="22"/>
      <c r="C45" s="23"/>
      <c r="D45" s="23"/>
      <c r="E45" s="24"/>
      <c r="F45" s="25">
        <f t="shared" si="0"/>
        <v>0</v>
      </c>
    </row>
    <row r="46" spans="1:6" ht="14" customHeight="1" thickBot="1">
      <c r="A46" s="1"/>
      <c r="B46" s="26"/>
      <c r="C46" s="27"/>
      <c r="D46" s="27"/>
      <c r="E46" s="28"/>
      <c r="F46" s="29">
        <f t="shared" si="0"/>
        <v>0</v>
      </c>
    </row>
    <row r="47" spans="1:6" ht="13" customHeight="1">
      <c r="A47" s="1"/>
      <c r="B47" s="30"/>
      <c r="C47" s="30"/>
      <c r="D47" s="30"/>
      <c r="E47" s="31" t="s">
        <v>19</v>
      </c>
      <c r="F47" s="32">
        <f>SUM(F22:F46)</f>
        <v>500000</v>
      </c>
    </row>
    <row r="48" spans="1:6" ht="13" customHeight="1">
      <c r="A48" s="1"/>
      <c r="B48" s="30"/>
      <c r="C48" s="30"/>
      <c r="D48" s="30"/>
      <c r="E48" s="33" t="s">
        <v>20</v>
      </c>
      <c r="F48" s="34">
        <f>F47*0.08</f>
        <v>40000</v>
      </c>
    </row>
    <row r="49" spans="1:6" ht="13" customHeight="1" thickBot="1">
      <c r="A49" s="1"/>
      <c r="B49" s="30"/>
      <c r="C49" s="30"/>
      <c r="D49" s="30"/>
      <c r="E49" s="31" t="s">
        <v>21</v>
      </c>
      <c r="F49" s="35">
        <f>SUM(F47:F48)</f>
        <v>540000</v>
      </c>
    </row>
    <row r="50" spans="1:6" ht="21" customHeight="1">
      <c r="A50" s="1"/>
      <c r="B50" s="39" t="s">
        <v>22</v>
      </c>
      <c r="C50" s="40"/>
      <c r="D50" s="40"/>
      <c r="E50" s="40"/>
      <c r="F50" s="40"/>
    </row>
    <row r="51" spans="1:6" ht="14" customHeight="1">
      <c r="A51" s="36"/>
      <c r="B51" s="41" t="s">
        <v>23</v>
      </c>
      <c r="C51" s="41"/>
      <c r="D51" s="41"/>
      <c r="E51" s="41"/>
      <c r="F51" s="41"/>
    </row>
    <row r="52" spans="1:6" ht="14" customHeight="1">
      <c r="A52" s="1"/>
      <c r="B52" s="41"/>
      <c r="C52" s="41"/>
      <c r="D52" s="41"/>
      <c r="E52" s="41"/>
      <c r="F52" s="41"/>
    </row>
    <row r="53" spans="1:6" ht="14" customHeight="1">
      <c r="A53" s="1"/>
      <c r="B53" s="41"/>
      <c r="C53" s="41"/>
      <c r="D53" s="41"/>
      <c r="E53" s="41"/>
      <c r="F53" s="41"/>
    </row>
    <row r="54" spans="1:6" ht="14" customHeight="1">
      <c r="A54" s="1"/>
      <c r="B54" s="42"/>
      <c r="C54" s="42"/>
      <c r="D54" s="42"/>
      <c r="E54" s="42"/>
      <c r="F54" s="42"/>
    </row>
    <row r="55" spans="1:6" ht="14" customHeight="1">
      <c r="A55" s="1"/>
      <c r="B55" s="37"/>
      <c r="C55" s="37"/>
      <c r="D55" s="37"/>
      <c r="E55" s="37"/>
      <c r="F55" s="37"/>
    </row>
    <row r="56" spans="1:6" ht="14" customHeight="1">
      <c r="A56" s="1"/>
      <c r="B56" s="37"/>
      <c r="C56" s="37"/>
      <c r="D56" s="37"/>
      <c r="E56" s="37"/>
      <c r="F56" s="37"/>
    </row>
    <row r="57" spans="1:6" ht="14" customHeight="1">
      <c r="A57" s="1"/>
      <c r="B57" s="37"/>
      <c r="C57" s="37"/>
      <c r="D57" s="37"/>
      <c r="E57" s="37"/>
      <c r="F57" s="37"/>
    </row>
    <row r="58" spans="1:6" ht="14" customHeight="1" thickBot="1">
      <c r="A58" s="1"/>
      <c r="B58" s="38"/>
      <c r="C58" s="38"/>
      <c r="D58" s="38"/>
      <c r="E58" s="38"/>
      <c r="F58" s="38"/>
    </row>
  </sheetData>
  <mergeCells count="14">
    <mergeCell ref="B51:F54"/>
    <mergeCell ref="B55:F58"/>
    <mergeCell ref="C15:D15"/>
    <mergeCell ref="B16:D16"/>
    <mergeCell ref="B18:B19"/>
    <mergeCell ref="C18:C19"/>
    <mergeCell ref="D18:D19"/>
    <mergeCell ref="B50:F50"/>
    <mergeCell ref="B6:C6"/>
    <mergeCell ref="B8:C9"/>
    <mergeCell ref="C11:D11"/>
    <mergeCell ref="C12:D12"/>
    <mergeCell ref="C13:D13"/>
    <mergeCell ref="C14:D14"/>
  </mergeCells>
  <phoneticPr fontId="1"/>
  <pageMargins left="0.25" right="0.25" top="0.75" bottom="0.75" header="0.3" footer="0.3"/>
  <pageSetup paperSize="9" scale="91" orientation="portrait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 Sugamura</dc:creator>
  <cp:lastModifiedBy>Tomohiro Kasugai</cp:lastModifiedBy>
  <dcterms:created xsi:type="dcterms:W3CDTF">2023-12-12T08:08:41Z</dcterms:created>
  <dcterms:modified xsi:type="dcterms:W3CDTF">2023-12-20T10:59:16Z</dcterms:modified>
</cp:coreProperties>
</file>